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riff\Documents\Job Application Certificates and Resume\"/>
    </mc:Choice>
  </mc:AlternateContent>
  <xr:revisionPtr revIDLastSave="0" documentId="13_ncr:1_{1A09DF96-0165-4CA1-A859-8FC1EF3673C1}" xr6:coauthVersionLast="47" xr6:coauthVersionMax="47" xr10:uidLastSave="{00000000-0000-0000-0000-000000000000}"/>
  <bookViews>
    <workbookView xWindow="-108" yWindow="-108" windowWidth="23256" windowHeight="12456" xr2:uid="{056BAB4C-14F7-4643-B4F9-1C4CAF347C30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1" i="1"/>
  <c r="B27" i="1"/>
  <c r="B22" i="1"/>
  <c r="B18" i="1"/>
  <c r="B14" i="1"/>
</calcChain>
</file>

<file path=xl/sharedStrings.xml><?xml version="1.0" encoding="utf-8"?>
<sst xmlns="http://schemas.openxmlformats.org/spreadsheetml/2006/main" count="76" uniqueCount="47">
  <si>
    <t>VLOOKUP, XLOOKUP and PIVOT Practice Question</t>
  </si>
  <si>
    <t>1) Sample Data</t>
  </si>
  <si>
    <t>Employee ID</t>
  </si>
  <si>
    <t>Name</t>
  </si>
  <si>
    <t>Department</t>
  </si>
  <si>
    <t>Location</t>
  </si>
  <si>
    <t>Sales</t>
  </si>
  <si>
    <t>Alice</t>
  </si>
  <si>
    <t>Bob</t>
  </si>
  <si>
    <t>Charlie</t>
  </si>
  <si>
    <t>Diana</t>
  </si>
  <si>
    <t>Ethan</t>
  </si>
  <si>
    <t>HR</t>
  </si>
  <si>
    <t>Finance</t>
  </si>
  <si>
    <t>IT</t>
  </si>
  <si>
    <t>Marketing</t>
  </si>
  <si>
    <t>London</t>
  </si>
  <si>
    <t>Boston</t>
  </si>
  <si>
    <t>Seattle</t>
  </si>
  <si>
    <t>Chicago</t>
  </si>
  <si>
    <t>Sales ($)</t>
  </si>
  <si>
    <t>Q1: What is the department of employee ID 103?</t>
  </si>
  <si>
    <t>Answer:</t>
  </si>
  <si>
    <t>Q2: How much did Diana made in sales?</t>
  </si>
  <si>
    <t>Formula:</t>
  </si>
  <si>
    <t xml:space="preserve"> VLOOKUP(A8,A6:E10,3,FALSE)</t>
  </si>
  <si>
    <t>$</t>
  </si>
  <si>
    <t>VLOOKUP(B9,B6:E10,4,FALSE)</t>
  </si>
  <si>
    <t>IFERROR(VLOOKUP(106,A6:E10,2,FALSE), "Not Found")</t>
  </si>
  <si>
    <t>Q3: Use IFERROR to return "Not Found" if ID 106 is searched.</t>
  </si>
  <si>
    <t>Q4: What is the location of Employee ID 105?</t>
  </si>
  <si>
    <t>XLOOKUP(105,A6:A10,D6:D10)</t>
  </si>
  <si>
    <t>Q5:What is the name of the employee who works in marketing?</t>
  </si>
  <si>
    <t>XLOOKUP("Marketing",C6:C10,B6:B10)</t>
  </si>
  <si>
    <t>Q6:Find the department of ID 108, return "Invalid ID" if not found</t>
  </si>
  <si>
    <t>XLOOKUP(108,A6:A10,C6:C10,"Invalid ID")</t>
  </si>
  <si>
    <t>Q7:What is the total sales for each department?</t>
  </si>
  <si>
    <t xml:space="preserve">Method: </t>
  </si>
  <si>
    <t>Row Labels</t>
  </si>
  <si>
    <t>Grand Total</t>
  </si>
  <si>
    <t>Sum of Sales ($)</t>
  </si>
  <si>
    <t>PIVOT Table</t>
  </si>
  <si>
    <t>Q8: What is the  average sales in each location?</t>
  </si>
  <si>
    <t>Method: PIVOT Table</t>
  </si>
  <si>
    <t>Average of Sales ($)</t>
  </si>
  <si>
    <t>Q9:What is the average sales for Boston area only?</t>
  </si>
  <si>
    <t>Method: Filtering the PIVOT Table, selecting Boston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</si>
</sst>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[VLOOKUP, XLOOKUP and PIVOT Practice Question.xlsx]Sheet1!PivotTable1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Sheet1!$B$40:$B$45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Sheet1!$C$40:$C$45</c:f>
              <c:numCache>
                <c:formatCode>General</c:formatCode>
                <c:ptCount val="5"/>
                <c:pt idx="0">
                  <c:v>7000</c:v>
                </c:pt>
                <c:pt idx="1">
                  <c:v>5000</c:v>
                </c:pt>
                <c:pt idx="2">
                  <c:v>6000</c:v>
                </c:pt>
                <c:pt idx="3">
                  <c:v>8000</c:v>
                </c:pt>
                <c:pt idx="4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B-4439-A33C-60DE35225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566832"/>
        <c:axId val="572567312"/>
      </c:barChart>
      <c:catAx>
        <c:axId val="57256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567312"/>
        <c:crosses val="autoZero"/>
        <c:auto val="1"/>
        <c:lblAlgn val="ctr"/>
        <c:lblOffset val="100"/>
        <c:noMultiLvlLbl val="0"/>
      </c:catAx>
      <c:valAx>
        <c:axId val="57256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56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[VLOOKUP, XLOOKUP and PIVOT Practice Question.xlsx]Sheet1!PivotTable2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Sheet1!$C$57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Sheet1!$B$58:$B$62</c:f>
              <c:strCache>
                <c:ptCount val="4"/>
                <c:pt idx="0">
                  <c:v>Boston</c:v>
                </c:pt>
                <c:pt idx="1">
                  <c:v>Chicago</c:v>
                </c:pt>
                <c:pt idx="2">
                  <c:v>London</c:v>
                </c:pt>
                <c:pt idx="3">
                  <c:v>Seattle</c:v>
                </c:pt>
              </c:strCache>
            </c:strRef>
          </c:cat>
          <c:val>
            <c:numRef>
              <c:f>Sheet1!$C$58:$C$62</c:f>
              <c:numCache>
                <c:formatCode>General</c:formatCode>
                <c:ptCount val="4"/>
                <c:pt idx="0">
                  <c:v>8000</c:v>
                </c:pt>
                <c:pt idx="1">
                  <c:v>8000</c:v>
                </c:pt>
                <c:pt idx="2">
                  <c:v>5000</c:v>
                </c:pt>
                <c:pt idx="3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0-471A-9BB3-70BD27F42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452966048"/>
        <c:axId val="452968448"/>
      </c:barChart>
      <c:catAx>
        <c:axId val="4529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968448"/>
        <c:crosses val="autoZero"/>
        <c:auto val="1"/>
        <c:lblAlgn val="ctr"/>
        <c:lblOffset val="100"/>
        <c:noMultiLvlLbl val="0"/>
      </c:catAx>
      <c:valAx>
        <c:axId val="45296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9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36</xdr:row>
      <xdr:rowOff>19050</xdr:rowOff>
    </xdr:from>
    <xdr:to>
      <xdr:col>13</xdr:col>
      <xdr:colOff>487680</xdr:colOff>
      <xdr:row>51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BC9818-7EC7-E542-B21C-18915E5F8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266700</xdr:colOff>
      <xdr:row>54</xdr:row>
      <xdr:rowOff>167640</xdr:rowOff>
    </xdr:from>
    <xdr:to>
      <xdr:col>10</xdr:col>
      <xdr:colOff>403860</xdr:colOff>
      <xdr:row>67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9E3F87-0298-3AE2-8A95-8789890D7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ff" refreshedDate="46092.362687152781" createdVersion="8" refreshedVersion="8" minRefreshableVersion="3" recordCount="5" xr:uid="{EB75345F-CD18-4722-8C11-A91BF9260414}">
  <cacheSource type="worksheet">
    <worksheetSource ref="A5:E10" sheet="Sheet1"/>
  </cacheSource>
  <cacheFields count="5">
    <cacheField name="Employee ID" numFmtId="0">
      <sharedItems containsSemiMixedTypes="0" containsString="0" containsNumber="1" containsInteger="1" minValue="101" maxValue="105"/>
    </cacheField>
    <cacheField name="Name" numFmtId="0">
      <sharedItems/>
    </cacheField>
    <cacheField name="Department" numFmtId="0">
      <sharedItems count="5">
        <s v="HR"/>
        <s v="Finance"/>
        <s v="IT"/>
        <s v="Marketing"/>
        <s v="Sales"/>
      </sharedItems>
    </cacheField>
    <cacheField name="Location" numFmtId="0">
      <sharedItems count="4">
        <s v="London"/>
        <s v="Boston"/>
        <s v="Seattle"/>
        <s v="Chicago"/>
      </sharedItems>
    </cacheField>
    <cacheField name="Sales ($)" numFmtId="0">
      <sharedItems containsSemiMixedTypes="0" containsString="0" containsNumber="1" containsInteger="1" minValue="5000" maxValue="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1"/>
    <s v="Alice"/>
    <x v="0"/>
    <x v="0"/>
    <n v="5000"/>
  </r>
  <r>
    <n v="102"/>
    <s v="Bob"/>
    <x v="1"/>
    <x v="1"/>
    <n v="7000"/>
  </r>
  <r>
    <n v="103"/>
    <s v="Charlie"/>
    <x v="2"/>
    <x v="2"/>
    <n v="6000"/>
  </r>
  <r>
    <n v="104"/>
    <s v="Diana"/>
    <x v="3"/>
    <x v="3"/>
    <n v="8000"/>
  </r>
  <r>
    <n v="105"/>
    <s v="Ethan"/>
    <x v="4"/>
    <x v="1"/>
    <n v="9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CC6D9-B2CB-4423-81B9-55FD44E92B78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72:C74" firstHeaderRow="1" firstDataRow="1" firstDataCol="1"/>
  <pivotFields count="5">
    <pivotField showAll="0"/>
    <pivotField showAll="0"/>
    <pivotField showAll="0"/>
    <pivotField axis="axisRow" showAll="0">
      <items count="5">
        <item x="1"/>
        <item h="1" x="3"/>
        <item h="1" x="0"/>
        <item h="1" x="2"/>
        <item t="default"/>
      </items>
    </pivotField>
    <pivotField dataField="1"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Average of Sales ($)" fld="4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CB7F88-9FB6-4314-AE40-77AABDDF98F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57:C62" firstHeaderRow="1" firstDataRow="1" firstDataCol="1"/>
  <pivotFields count="5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es ($)" fld="4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C5796-AD49-487A-B23D-AD890B4DB5E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9:C45" firstHeaderRow="1" firstDataRow="1" firstDataCol="1"/>
  <pivotFields count="5"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($)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7809-5B20-4742-8218-EC2113AF7A82}">
  <dimension ref="A1:J74"/>
  <sheetViews>
    <sheetView tabSelected="1" workbookViewId="0">
      <selection activeCell="E39" sqref="E39"/>
    </sheetView>
  </sheetViews>
  <sheetFormatPr defaultRowHeight="14.4" x14ac:dyDescent="0.3"/>
  <cols>
    <col min="1" max="1" width="15" customWidth="1"/>
    <col min="2" max="2" width="12.44140625" bestFit="1" customWidth="1"/>
    <col min="3" max="3" width="17.21875" bestFit="1" customWidth="1"/>
  </cols>
  <sheetData>
    <row r="1" spans="1:10" ht="28.8" x14ac:dyDescent="0.55000000000000004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</row>
    <row r="3" spans="1:10" x14ac:dyDescent="0.3">
      <c r="A3" t="s">
        <v>1</v>
      </c>
    </row>
    <row r="5" spans="1:10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20</v>
      </c>
    </row>
    <row r="6" spans="1:10" x14ac:dyDescent="0.3">
      <c r="A6" s="3">
        <v>101</v>
      </c>
      <c r="B6" s="3" t="s">
        <v>7</v>
      </c>
      <c r="C6" s="3" t="s">
        <v>12</v>
      </c>
      <c r="D6" s="3" t="s">
        <v>16</v>
      </c>
      <c r="E6" s="3">
        <v>5000</v>
      </c>
    </row>
    <row r="7" spans="1:10" x14ac:dyDescent="0.3">
      <c r="A7" s="3">
        <v>102</v>
      </c>
      <c r="B7" s="3" t="s">
        <v>8</v>
      </c>
      <c r="C7" s="3" t="s">
        <v>13</v>
      </c>
      <c r="D7" s="3" t="s">
        <v>17</v>
      </c>
      <c r="E7" s="3">
        <v>7000</v>
      </c>
    </row>
    <row r="8" spans="1:10" x14ac:dyDescent="0.3">
      <c r="A8" s="3">
        <v>103</v>
      </c>
      <c r="B8" s="3" t="s">
        <v>9</v>
      </c>
      <c r="C8" s="3" t="s">
        <v>14</v>
      </c>
      <c r="D8" s="3" t="s">
        <v>18</v>
      </c>
      <c r="E8" s="3">
        <v>6000</v>
      </c>
    </row>
    <row r="9" spans="1:10" x14ac:dyDescent="0.3">
      <c r="A9" s="3">
        <v>104</v>
      </c>
      <c r="B9" s="3" t="s">
        <v>10</v>
      </c>
      <c r="C9" s="3" t="s">
        <v>15</v>
      </c>
      <c r="D9" s="3" t="s">
        <v>19</v>
      </c>
      <c r="E9" s="3">
        <v>8000</v>
      </c>
    </row>
    <row r="10" spans="1:10" x14ac:dyDescent="0.3">
      <c r="A10" s="3">
        <v>105</v>
      </c>
      <c r="B10" s="3" t="s">
        <v>11</v>
      </c>
      <c r="C10" s="3" t="s">
        <v>6</v>
      </c>
      <c r="D10" s="3" t="s">
        <v>17</v>
      </c>
      <c r="E10" s="3">
        <v>9000</v>
      </c>
    </row>
    <row r="12" spans="1:10" x14ac:dyDescent="0.3">
      <c r="A12" t="s">
        <v>21</v>
      </c>
    </row>
    <row r="13" spans="1:10" x14ac:dyDescent="0.3">
      <c r="A13" t="s">
        <v>24</v>
      </c>
      <c r="B13" t="s">
        <v>25</v>
      </c>
    </row>
    <row r="14" spans="1:10" x14ac:dyDescent="0.3">
      <c r="A14" t="s">
        <v>22</v>
      </c>
      <c r="B14" t="str">
        <f>VLOOKUP(A8,A6:E10,3,FALSE)</f>
        <v>IT</v>
      </c>
    </row>
    <row r="16" spans="1:10" x14ac:dyDescent="0.3">
      <c r="A16" t="s">
        <v>23</v>
      </c>
    </row>
    <row r="17" spans="1:3" x14ac:dyDescent="0.3">
      <c r="A17" t="s">
        <v>24</v>
      </c>
      <c r="B17" t="s">
        <v>27</v>
      </c>
    </row>
    <row r="18" spans="1:3" x14ac:dyDescent="0.3">
      <c r="A18" t="s">
        <v>22</v>
      </c>
      <c r="B18">
        <f>VLOOKUP(B9,B6:E10,4,FALSE)</f>
        <v>8000</v>
      </c>
      <c r="C18" t="s">
        <v>26</v>
      </c>
    </row>
    <row r="20" spans="1:3" x14ac:dyDescent="0.3">
      <c r="A20" t="s">
        <v>29</v>
      </c>
    </row>
    <row r="21" spans="1:3" x14ac:dyDescent="0.3">
      <c r="A21" t="s">
        <v>24</v>
      </c>
      <c r="B21" t="s">
        <v>28</v>
      </c>
    </row>
    <row r="22" spans="1:3" x14ac:dyDescent="0.3">
      <c r="A22" t="s">
        <v>22</v>
      </c>
      <c r="B22" t="str">
        <f>IFERROR(VLOOKUP(106,A6:E10,2,FALSE), "Not Found")</f>
        <v>Not Found</v>
      </c>
    </row>
    <row r="25" spans="1:3" x14ac:dyDescent="0.3">
      <c r="A25" t="s">
        <v>30</v>
      </c>
    </row>
    <row r="26" spans="1:3" x14ac:dyDescent="0.3">
      <c r="A26" t="s">
        <v>24</v>
      </c>
      <c r="B26" t="s">
        <v>31</v>
      </c>
    </row>
    <row r="27" spans="1:3" x14ac:dyDescent="0.3">
      <c r="A27" t="s">
        <v>22</v>
      </c>
      <c r="B27" t="str">
        <f>_xlfn.XLOOKUP(105,A6:A10,D6:D10)</f>
        <v>Boston</v>
      </c>
    </row>
    <row r="29" spans="1:3" x14ac:dyDescent="0.3">
      <c r="A29" t="s">
        <v>32</v>
      </c>
    </row>
    <row r="30" spans="1:3" x14ac:dyDescent="0.3">
      <c r="A30" t="s">
        <v>24</v>
      </c>
      <c r="B30" t="s">
        <v>33</v>
      </c>
    </row>
    <row r="31" spans="1:3" x14ac:dyDescent="0.3">
      <c r="A31" t="s">
        <v>22</v>
      </c>
      <c r="B31" t="str">
        <f>_xlfn.XLOOKUP("Marketing",C6:C10,B6:B10)</f>
        <v>Diana</v>
      </c>
    </row>
    <row r="33" spans="1:3" x14ac:dyDescent="0.3">
      <c r="A33" t="s">
        <v>34</v>
      </c>
    </row>
    <row r="34" spans="1:3" x14ac:dyDescent="0.3">
      <c r="A34" t="s">
        <v>24</v>
      </c>
      <c r="B34" t="s">
        <v>35</v>
      </c>
    </row>
    <row r="35" spans="1:3" x14ac:dyDescent="0.3">
      <c r="A35" t="s">
        <v>22</v>
      </c>
      <c r="B35" t="str">
        <f>_xlfn.XLOOKUP(108,A6:A10,C6:C10,"Invalid ID")</f>
        <v>Invalid ID</v>
      </c>
    </row>
    <row r="37" spans="1:3" x14ac:dyDescent="0.3">
      <c r="A37" t="s">
        <v>36</v>
      </c>
    </row>
    <row r="38" spans="1:3" x14ac:dyDescent="0.3">
      <c r="A38" t="s">
        <v>37</v>
      </c>
      <c r="B38" t="s">
        <v>41</v>
      </c>
    </row>
    <row r="39" spans="1:3" x14ac:dyDescent="0.3">
      <c r="A39" t="s">
        <v>22</v>
      </c>
      <c r="B39" s="4" t="s">
        <v>38</v>
      </c>
      <c r="C39" t="s">
        <v>40</v>
      </c>
    </row>
    <row r="40" spans="1:3" x14ac:dyDescent="0.3">
      <c r="B40" s="5" t="s">
        <v>13</v>
      </c>
      <c r="C40" s="6">
        <v>7000</v>
      </c>
    </row>
    <row r="41" spans="1:3" x14ac:dyDescent="0.3">
      <c r="B41" s="5" t="s">
        <v>12</v>
      </c>
      <c r="C41" s="6">
        <v>5000</v>
      </c>
    </row>
    <row r="42" spans="1:3" x14ac:dyDescent="0.3">
      <c r="B42" s="5" t="s">
        <v>14</v>
      </c>
      <c r="C42" s="6">
        <v>6000</v>
      </c>
    </row>
    <row r="43" spans="1:3" x14ac:dyDescent="0.3">
      <c r="B43" s="5" t="s">
        <v>15</v>
      </c>
      <c r="C43" s="6">
        <v>8000</v>
      </c>
    </row>
    <row r="44" spans="1:3" x14ac:dyDescent="0.3">
      <c r="B44" s="5" t="s">
        <v>6</v>
      </c>
      <c r="C44" s="6">
        <v>9000</v>
      </c>
    </row>
    <row r="45" spans="1:3" x14ac:dyDescent="0.3">
      <c r="B45" s="5" t="s">
        <v>39</v>
      </c>
      <c r="C45" s="6">
        <v>35000</v>
      </c>
    </row>
    <row r="55" spans="1:3" x14ac:dyDescent="0.3">
      <c r="A55" t="s">
        <v>42</v>
      </c>
    </row>
    <row r="56" spans="1:3" x14ac:dyDescent="0.3">
      <c r="A56" t="s">
        <v>43</v>
      </c>
    </row>
    <row r="57" spans="1:3" x14ac:dyDescent="0.3">
      <c r="A57" t="s">
        <v>22</v>
      </c>
      <c r="B57" s="4" t="s">
        <v>38</v>
      </c>
      <c r="C57" t="s">
        <v>44</v>
      </c>
    </row>
    <row r="58" spans="1:3" x14ac:dyDescent="0.3">
      <c r="B58" s="5" t="s">
        <v>17</v>
      </c>
      <c r="C58" s="6">
        <v>8000</v>
      </c>
    </row>
    <row r="59" spans="1:3" x14ac:dyDescent="0.3">
      <c r="B59" s="5" t="s">
        <v>19</v>
      </c>
      <c r="C59" s="6">
        <v>8000</v>
      </c>
    </row>
    <row r="60" spans="1:3" x14ac:dyDescent="0.3">
      <c r="B60" s="5" t="s">
        <v>16</v>
      </c>
      <c r="C60" s="6">
        <v>5000</v>
      </c>
    </row>
    <row r="61" spans="1:3" x14ac:dyDescent="0.3">
      <c r="B61" s="5" t="s">
        <v>18</v>
      </c>
      <c r="C61" s="6">
        <v>6000</v>
      </c>
    </row>
    <row r="62" spans="1:3" x14ac:dyDescent="0.3">
      <c r="B62" s="5" t="s">
        <v>39</v>
      </c>
      <c r="C62" s="6">
        <v>7000</v>
      </c>
    </row>
    <row r="70" spans="1:3" x14ac:dyDescent="0.3">
      <c r="A70" t="s">
        <v>45</v>
      </c>
    </row>
    <row r="71" spans="1:3" x14ac:dyDescent="0.3">
      <c r="A71" t="s">
        <v>46</v>
      </c>
    </row>
    <row r="72" spans="1:3" x14ac:dyDescent="0.3">
      <c r="A72" t="s">
        <v>22</v>
      </c>
      <c r="B72" s="4" t="s">
        <v>38</v>
      </c>
      <c r="C72" t="s">
        <v>44</v>
      </c>
    </row>
    <row r="73" spans="1:3" x14ac:dyDescent="0.3">
      <c r="B73" s="5" t="s">
        <v>17</v>
      </c>
      <c r="C73" s="6">
        <v>8000</v>
      </c>
    </row>
    <row r="74" spans="1:3" x14ac:dyDescent="0.3">
      <c r="B74" s="5" t="s">
        <v>39</v>
      </c>
      <c r="C74" s="6">
        <v>8000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Ariff Aidil Mohd Anis</dc:creator>
  <cp:lastModifiedBy>Muhammad Ariff Aidil Mohd Anis</cp:lastModifiedBy>
  <dcterms:created xsi:type="dcterms:W3CDTF">2026-03-10T15:53:05Z</dcterms:created>
  <dcterms:modified xsi:type="dcterms:W3CDTF">2026-03-11T01:34:51Z</dcterms:modified>
</cp:coreProperties>
</file>